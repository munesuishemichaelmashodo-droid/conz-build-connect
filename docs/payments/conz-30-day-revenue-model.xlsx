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Targe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<sst xmlns="http://schemas.openxmlformats.org/spreadsheetml/2006/main" count="91" uniqueCount="76">
  <si>
    <t xml:space="preserve">ConZ — 30-day revenue model (editable)</t>
  </si>
  <si>
    <t xml:space="preserve">Blue cells are inputs: change them and every black formula recalculates. Yellow = key assumption to confirm. Units: US$.</t>
  </si>
  <si>
    <t xml:space="preserve">Inputs</t>
  </si>
  <si>
    <t xml:space="preserve">Conservative</t>
  </si>
  <si>
    <t xml:space="preserve">Base</t>
  </si>
  <si>
    <t xml:space="preserve">Optimistic</t>
  </si>
  <si>
    <t xml:space="preserve">Notes / source</t>
  </si>
  <si>
    <t xml:space="preserve">Active verified drivers with a truck</t>
  </si>
  <si>
    <t xml:space="preserve">Assumption. Production 24/10: 5 verified, 2 with a truck saved.</t>
  </si>
  <si>
    <t xml:space="preserve">Active suppliers / loading points</t>
  </si>
  <si>
    <t xml:space="preserve">Assumption. Production: 2 verified sites near Marondera.</t>
  </si>
  <si>
    <t xml:space="preserve">Qualified customer leads in 30 days</t>
  </si>
  <si>
    <t xml:space="preserve">Assumption: people with a real load need in the next 30 days.</t>
  </si>
  <si>
    <t xml:space="preserve">Lead → first booking conversion</t>
  </si>
  <si>
    <t xml:space="preserve">Assumption.</t>
  </si>
  <si>
    <t xml:space="preserve">Bookings per converted customer (repeat loads)</t>
  </si>
  <si>
    <t xml:space="preserve">Assumption: contractors reorder; house builders often 1.</t>
  </si>
  <si>
    <t xml:space="preserve">Job completion rate (booked → delivered)</t>
  </si>
  <si>
    <t xml:space="preserve">Average eligible job value (materials + transport)</t>
  </si>
  <si>
    <t xml:space="preserve">Assumption. Live examples: $207 for 12 m³ quarry dust; $400 for 12 m³ river sand.</t>
  </si>
  <si>
    <t xml:space="preserve">Commission rate</t>
  </si>
  <si>
    <t xml:space="preserve">Founder decision: 7% of materials + transport.</t>
  </si>
  <si>
    <t xml:space="preserve">First completed job free per new driver (1 = on, 0 = off)</t>
  </si>
  <si>
    <t xml:space="preserve">Current policy in the database. Set 0 to see its cost.</t>
  </si>
  <si>
    <t xml:space="preserve">Commission collected / earned</t>
  </si>
  <si>
    <t xml:space="preserve">Prepaid reserve makes collection near-certain; gap = disputes, failed top-ups.</t>
  </si>
  <si>
    <t xml:space="preserve">Refunds, disputes, write-offs (share of commission)</t>
  </si>
  <si>
    <t xml:space="preserve">Share of commission credit bought through Paynow</t>
  </si>
  <si>
    <t xml:space="preserve">Rest by manual transfer (no gateway fee).</t>
  </si>
  <si>
    <t xml:space="preserve">Paynow fee on mobile-money top-ups</t>
  </si>
  <si>
    <t xml:space="preserve">Paynow fees page, 25/10/2026: EcoCash/OneMoney 2.5%.</t>
  </si>
  <si>
    <t xml:space="preserve">Paynow USD settlements in the month</t>
  </si>
  <si>
    <t xml:space="preserve">Weekly (non-Verified merchant).</t>
  </si>
  <si>
    <t xml:space="preserve">Fee per Paynow USD settlement</t>
  </si>
  <si>
    <t xml:space="preserve">verify.paynow.co.zw, 25/10/2026: flat $8.50.</t>
  </si>
  <si>
    <t xml:space="preserve">Outreach costs (transport, airtime, data, printing)</t>
  </si>
  <si>
    <t xml:space="preserve">Assumption. No paid ads.</t>
  </si>
  <si>
    <t xml:space="preserve">Other essential costs (POTRAZ Tier 1 licence, misc.)</t>
  </si>
  <si>
    <t xml:space="preserve">SI 155/2024: Tier 1 licence $50/yr; $10 misc.</t>
  </si>
  <si>
    <t xml:space="preserve">Results (30 days)</t>
  </si>
  <si>
    <t xml:space="preserve">What it means</t>
  </si>
  <si>
    <t xml:space="preserve">Customers who book</t>
  </si>
  <si>
    <t xml:space="preserve">Jobs booked</t>
  </si>
  <si>
    <t xml:space="preserve">Booked job value</t>
  </si>
  <si>
    <t xml:space="preserve">Customers' money to drivers/suppliers — never ConZ's</t>
  </si>
  <si>
    <t xml:space="preserve">Jobs completed</t>
  </si>
  <si>
    <t xml:space="preserve">Of which free first jobs</t>
  </si>
  <si>
    <t xml:space="preserve">Earn no commission</t>
  </si>
  <si>
    <t xml:space="preserve">Commission-bearing jobs</t>
  </si>
  <si>
    <t xml:space="preserve">Commission earned</t>
  </si>
  <si>
    <t xml:space="preserve">Recognised at verified completion</t>
  </si>
  <si>
    <t xml:space="preserve">Commission collected</t>
  </si>
  <si>
    <t xml:space="preserve">Applied from driver credit</t>
  </si>
  <si>
    <t xml:space="preserve">Payment processing fees</t>
  </si>
  <si>
    <t xml:space="preserve">Net commission cash</t>
  </si>
  <si>
    <t xml:space="preserve">Outreach + essential costs</t>
  </si>
  <si>
    <t xml:space="preserve">Cash needed before revenue arrives</t>
  </si>
  <si>
    <t xml:space="preserve">Net cash result for the month</t>
  </si>
  <si>
    <t xml:space="preserve">Unrestricted company cash change</t>
  </si>
  <si>
    <t xml:space="preserve">Completed jobs per driver</t>
  </si>
  <si>
    <t xml:space="preserve">Check it is realistic (truck days)</t>
  </si>
  <si>
    <t xml:space="preserve">Driver credit held at month end (liability, not profit)</t>
  </si>
  <si>
    <t xml:space="preserve">Assumes each driver keeps one job's commission in credit</t>
  </si>
  <si>
    <t xml:space="preserve">Definitions: booked job value and driver credit are not ConZ revenue. Commission is earned at verified completion and is company cash only once the top-up has settled to ConZ's bank account.</t>
  </si>
  <si>
    <t xml:space="preserve">Jobs needed to collect a commission target in 30 days</t>
  </si>
  <si>
    <t xml:space="preserve">Uses Base-case rate, collection, write-off, completion, conversion, repeat and driver count from the Model sheet (green = linked).</t>
  </si>
  <si>
    <t xml:space="preserve">Average job value →</t>
  </si>
  <si>
    <t xml:space="preserve">Commission target ($)</t>
  </si>
  <si>
    <t xml:space="preserve">Target $300: commission-bearing jobs</t>
  </si>
  <si>
    <t xml:space="preserve">← target (edit)</t>
  </si>
  <si>
    <t xml:space="preserve">  + free first jobs (one per driver)</t>
  </si>
  <si>
    <t xml:space="preserve">  = completed jobs needed</t>
  </si>
  <si>
    <t xml:space="preserve">  bookings needed</t>
  </si>
  <si>
    <t xml:space="preserve">  qualified leads needed</t>
  </si>
  <si>
    <t xml:space="preserve">Target $500: commission-bearing jobs</t>
  </si>
  <si>
    <t xml:space="preserve">Target $1000: commission-bearing jobs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</si>
</sst>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#,##0.0;\(#,##0.0\);\-"/>
    <numFmt numFmtId="168" formatCode="\$#,##0;&quot;($&quot;#,##0\);\-"/>
    <numFmt numFmtId="169" formatCode="\$#,##0.00;&quot;($&quot;#,##0.0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0EFEC"/>
        <bgColor rgb="FFFF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0EF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"/>
    <col collapsed="false" customWidth="true" hidden="false" outlineLevel="0" max="5" min="3" style="0" width="14"/>
    <col collapsed="false" customWidth="true" hidden="false" outlineLevel="0" max="6" min="6" style="0" width="7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C4" s="4" t="s">
        <v>3</v>
      </c>
      <c r="D4" s="4" t="s">
        <v>4</v>
      </c>
      <c r="E4" s="4" t="s">
        <v>5</v>
      </c>
      <c r="F4" s="4" t="s">
        <v>6</v>
      </c>
    </row>
    <row r="5" customFormat="false" ht="15" hidden="false" customHeight="false" outlineLevel="0" collapsed="false">
      <c r="A5" s="2" t="s">
        <v>7</v>
      </c>
      <c r="C5" s="5" t="n">
        <v>3</v>
      </c>
      <c r="D5" s="5" t="n">
        <v>5</v>
      </c>
      <c r="E5" s="5" t="n">
        <v>8</v>
      </c>
      <c r="F5" s="2" t="s">
        <v>8</v>
      </c>
    </row>
    <row r="6" customFormat="false" ht="15" hidden="false" customHeight="false" outlineLevel="0" collapsed="false">
      <c r="A6" s="2" t="s">
        <v>9</v>
      </c>
      <c r="C6" s="6" t="n">
        <v>1</v>
      </c>
      <c r="D6" s="6" t="n">
        <v>2</v>
      </c>
      <c r="E6" s="6" t="n">
        <v>3</v>
      </c>
      <c r="F6" s="2" t="s">
        <v>10</v>
      </c>
    </row>
    <row r="7" customFormat="false" ht="15" hidden="false" customHeight="false" outlineLevel="0" collapsed="false">
      <c r="A7" s="2" t="s">
        <v>11</v>
      </c>
      <c r="C7" s="5" t="n">
        <v>25</v>
      </c>
      <c r="D7" s="5" t="n">
        <v>45</v>
      </c>
      <c r="E7" s="5" t="n">
        <v>80</v>
      </c>
      <c r="F7" s="2" t="s">
        <v>12</v>
      </c>
    </row>
    <row r="8" customFormat="false" ht="15" hidden="false" customHeight="false" outlineLevel="0" collapsed="false">
      <c r="A8" s="2" t="s">
        <v>13</v>
      </c>
      <c r="C8" s="7" t="n">
        <v>0.15</v>
      </c>
      <c r="D8" s="7" t="n">
        <v>0.25</v>
      </c>
      <c r="E8" s="7" t="n">
        <v>0.35</v>
      </c>
      <c r="F8" s="2" t="s">
        <v>14</v>
      </c>
    </row>
    <row r="9" customFormat="false" ht="15" hidden="false" customHeight="false" outlineLevel="0" collapsed="false">
      <c r="A9" s="2" t="s">
        <v>15</v>
      </c>
      <c r="C9" s="8" t="n">
        <v>1</v>
      </c>
      <c r="D9" s="8" t="n">
        <v>1.5</v>
      </c>
      <c r="E9" s="8" t="n">
        <v>2.5</v>
      </c>
      <c r="F9" s="2" t="s">
        <v>16</v>
      </c>
    </row>
    <row r="10" customFormat="false" ht="15" hidden="false" customHeight="false" outlineLevel="0" collapsed="false">
      <c r="A10" s="2" t="s">
        <v>17</v>
      </c>
      <c r="C10" s="9" t="n">
        <v>0.7</v>
      </c>
      <c r="D10" s="9" t="n">
        <v>0.8</v>
      </c>
      <c r="E10" s="9" t="n">
        <v>0.9</v>
      </c>
      <c r="F10" s="2" t="s">
        <v>14</v>
      </c>
    </row>
    <row r="11" customFormat="false" ht="15" hidden="false" customHeight="false" outlineLevel="0" collapsed="false">
      <c r="A11" s="2" t="s">
        <v>18</v>
      </c>
      <c r="C11" s="10" t="n">
        <v>250</v>
      </c>
      <c r="D11" s="10" t="n">
        <v>350</v>
      </c>
      <c r="E11" s="10" t="n">
        <v>450</v>
      </c>
      <c r="F11" s="2" t="s">
        <v>19</v>
      </c>
    </row>
    <row r="12" customFormat="false" ht="15" hidden="false" customHeight="false" outlineLevel="0" collapsed="false">
      <c r="A12" s="2" t="s">
        <v>20</v>
      </c>
      <c r="C12" s="9" t="n">
        <v>0.07</v>
      </c>
      <c r="D12" s="9" t="n">
        <v>0.07</v>
      </c>
      <c r="E12" s="9" t="n">
        <v>0.07</v>
      </c>
      <c r="F12" s="2" t="s">
        <v>21</v>
      </c>
    </row>
    <row r="13" customFormat="false" ht="15" hidden="false" customHeight="false" outlineLevel="0" collapsed="false">
      <c r="A13" s="2" t="s">
        <v>22</v>
      </c>
      <c r="C13" s="6" t="n">
        <v>1</v>
      </c>
      <c r="D13" s="6" t="n">
        <v>1</v>
      </c>
      <c r="E13" s="6" t="n">
        <v>1</v>
      </c>
      <c r="F13" s="2" t="s">
        <v>23</v>
      </c>
    </row>
    <row r="14" customFormat="false" ht="15" hidden="false" customHeight="false" outlineLevel="0" collapsed="false">
      <c r="A14" s="2" t="s">
        <v>24</v>
      </c>
      <c r="C14" s="9" t="n">
        <v>0.9</v>
      </c>
      <c r="D14" s="9" t="n">
        <v>0.97</v>
      </c>
      <c r="E14" s="9" t="n">
        <v>0.99</v>
      </c>
      <c r="F14" s="2" t="s">
        <v>25</v>
      </c>
    </row>
    <row r="15" customFormat="false" ht="15" hidden="false" customHeight="false" outlineLevel="0" collapsed="false">
      <c r="A15" s="2" t="s">
        <v>26</v>
      </c>
      <c r="C15" s="9" t="n">
        <v>0.05</v>
      </c>
      <c r="D15" s="9" t="n">
        <v>0.03</v>
      </c>
      <c r="E15" s="9" t="n">
        <v>0.02</v>
      </c>
      <c r="F15" s="2" t="s">
        <v>14</v>
      </c>
    </row>
    <row r="16" customFormat="false" ht="15" hidden="false" customHeight="false" outlineLevel="0" collapsed="false">
      <c r="A16" s="2" t="s">
        <v>27</v>
      </c>
      <c r="C16" s="9" t="n">
        <v>0.5</v>
      </c>
      <c r="D16" s="9" t="n">
        <v>0.5</v>
      </c>
      <c r="E16" s="9" t="n">
        <v>0.5</v>
      </c>
      <c r="F16" s="2" t="s">
        <v>28</v>
      </c>
    </row>
    <row r="17" customFormat="false" ht="15" hidden="false" customHeight="false" outlineLevel="0" collapsed="false">
      <c r="A17" s="2" t="s">
        <v>29</v>
      </c>
      <c r="C17" s="9" t="n">
        <v>0.025</v>
      </c>
      <c r="D17" s="9" t="n">
        <v>0.025</v>
      </c>
      <c r="E17" s="9" t="n">
        <v>0.025</v>
      </c>
      <c r="F17" s="2" t="s">
        <v>30</v>
      </c>
    </row>
    <row r="18" customFormat="false" ht="15" hidden="false" customHeight="false" outlineLevel="0" collapsed="false">
      <c r="A18" s="2" t="s">
        <v>31</v>
      </c>
      <c r="C18" s="6" t="n">
        <v>4</v>
      </c>
      <c r="D18" s="6" t="n">
        <v>4</v>
      </c>
      <c r="E18" s="6" t="n">
        <v>4</v>
      </c>
      <c r="F18" s="2" t="s">
        <v>32</v>
      </c>
    </row>
    <row r="19" customFormat="false" ht="15" hidden="false" customHeight="false" outlineLevel="0" collapsed="false">
      <c r="A19" s="2" t="s">
        <v>33</v>
      </c>
      <c r="C19" s="11" t="n">
        <v>8.5</v>
      </c>
      <c r="D19" s="11" t="n">
        <v>8.5</v>
      </c>
      <c r="E19" s="11" t="n">
        <v>8.5</v>
      </c>
      <c r="F19" s="2" t="s">
        <v>34</v>
      </c>
    </row>
    <row r="20" customFormat="false" ht="15" hidden="false" customHeight="false" outlineLevel="0" collapsed="false">
      <c r="A20" s="2" t="s">
        <v>35</v>
      </c>
      <c r="C20" s="12" t="n">
        <v>120</v>
      </c>
      <c r="D20" s="12" t="n">
        <v>150</v>
      </c>
      <c r="E20" s="12" t="n">
        <v>200</v>
      </c>
      <c r="F20" s="2" t="s">
        <v>36</v>
      </c>
    </row>
    <row r="21" customFormat="false" ht="15" hidden="false" customHeight="false" outlineLevel="0" collapsed="false">
      <c r="A21" s="2" t="s">
        <v>37</v>
      </c>
      <c r="C21" s="12" t="n">
        <v>60</v>
      </c>
      <c r="D21" s="12" t="n">
        <v>60</v>
      </c>
      <c r="E21" s="12" t="n">
        <v>60</v>
      </c>
      <c r="F21" s="2" t="s">
        <v>38</v>
      </c>
    </row>
    <row r="23" customFormat="false" ht="15" hidden="false" customHeight="false" outlineLevel="0" collapsed="false">
      <c r="A23" s="3" t="s">
        <v>39</v>
      </c>
      <c r="C23" s="4" t="s">
        <v>3</v>
      </c>
      <c r="D23" s="4" t="s">
        <v>4</v>
      </c>
      <c r="E23" s="4" t="s">
        <v>5</v>
      </c>
      <c r="F23" s="4" t="s">
        <v>40</v>
      </c>
    </row>
    <row r="24" customFormat="false" ht="15" hidden="false" customHeight="false" outlineLevel="0" collapsed="false">
      <c r="A24" s="2" t="s">
        <v>41</v>
      </c>
      <c r="C24" s="13" t="n">
        <f aca="false">C7*C8</f>
        <v>3.75</v>
      </c>
      <c r="D24" s="13" t="n">
        <f aca="false">D7*D8</f>
        <v>11.25</v>
      </c>
      <c r="E24" s="13" t="n">
        <f aca="false">E7*E8</f>
        <v>28</v>
      </c>
      <c r="F24" s="2"/>
    </row>
    <row r="25" customFormat="false" ht="15" hidden="false" customHeight="false" outlineLevel="0" collapsed="false">
      <c r="A25" s="2" t="s">
        <v>42</v>
      </c>
      <c r="C25" s="13" t="n">
        <f aca="false">C24*C9</f>
        <v>3.75</v>
      </c>
      <c r="D25" s="13" t="n">
        <f aca="false">D24*D9</f>
        <v>16.875</v>
      </c>
      <c r="E25" s="13" t="n">
        <f aca="false">E24*E9</f>
        <v>70</v>
      </c>
      <c r="F25" s="2"/>
    </row>
    <row r="26" customFormat="false" ht="15" hidden="false" customHeight="false" outlineLevel="0" collapsed="false">
      <c r="A26" s="2" t="s">
        <v>43</v>
      </c>
      <c r="C26" s="14" t="n">
        <f aca="false">C25*C11</f>
        <v>937.5</v>
      </c>
      <c r="D26" s="14" t="n">
        <f aca="false">D25*D11</f>
        <v>5906.25</v>
      </c>
      <c r="E26" s="14" t="n">
        <f aca="false">E25*E11</f>
        <v>31500</v>
      </c>
      <c r="F26" s="2" t="s">
        <v>44</v>
      </c>
    </row>
    <row r="27" customFormat="false" ht="15" hidden="false" customHeight="false" outlineLevel="0" collapsed="false">
      <c r="A27" s="2" t="s">
        <v>45</v>
      </c>
      <c r="C27" s="13" t="n">
        <f aca="false">C25*C10</f>
        <v>2.625</v>
      </c>
      <c r="D27" s="13" t="n">
        <f aca="false">D25*D10</f>
        <v>13.5</v>
      </c>
      <c r="E27" s="13" t="n">
        <f aca="false">E25*E10</f>
        <v>63</v>
      </c>
      <c r="F27" s="2"/>
    </row>
    <row r="28" customFormat="false" ht="15" hidden="false" customHeight="false" outlineLevel="0" collapsed="false">
      <c r="A28" s="2" t="s">
        <v>46</v>
      </c>
      <c r="C28" s="13" t="n">
        <f aca="false">IF(C13=1,MIN(C5,C27),0)</f>
        <v>2.625</v>
      </c>
      <c r="D28" s="13" t="n">
        <f aca="false">IF(D13=1,MIN(D5,D27),0)</f>
        <v>5</v>
      </c>
      <c r="E28" s="13" t="n">
        <f aca="false">IF(E13=1,MIN(E5,E27),0)</f>
        <v>8</v>
      </c>
      <c r="F28" s="2" t="s">
        <v>47</v>
      </c>
    </row>
    <row r="29" customFormat="false" ht="15" hidden="false" customHeight="false" outlineLevel="0" collapsed="false">
      <c r="A29" s="2" t="s">
        <v>48</v>
      </c>
      <c r="C29" s="13" t="n">
        <f aca="false">MAX(C27-C28,0)</f>
        <v>0</v>
      </c>
      <c r="D29" s="13" t="n">
        <f aca="false">MAX(D27-D28,0)</f>
        <v>8.5</v>
      </c>
      <c r="E29" s="13" t="n">
        <f aca="false">MAX(E27-E28,0)</f>
        <v>55</v>
      </c>
      <c r="F29" s="2"/>
    </row>
    <row r="30" customFormat="false" ht="15" hidden="false" customHeight="false" outlineLevel="0" collapsed="false">
      <c r="A30" s="2" t="s">
        <v>49</v>
      </c>
      <c r="C30" s="14" t="n">
        <f aca="false">C29*C11*C12</f>
        <v>0</v>
      </c>
      <c r="D30" s="14" t="n">
        <f aca="false">D29*D11*D12</f>
        <v>208.25</v>
      </c>
      <c r="E30" s="14" t="n">
        <f aca="false">E29*E11*E12</f>
        <v>1732.5</v>
      </c>
      <c r="F30" s="2" t="s">
        <v>50</v>
      </c>
    </row>
    <row r="31" customFormat="false" ht="15" hidden="false" customHeight="false" outlineLevel="0" collapsed="false">
      <c r="A31" s="3" t="s">
        <v>51</v>
      </c>
      <c r="C31" s="15" t="n">
        <f aca="false">C30*C14*(1-C15)</f>
        <v>0</v>
      </c>
      <c r="D31" s="15" t="n">
        <f aca="false">D30*D14*(1-D15)</f>
        <v>195.942425</v>
      </c>
      <c r="E31" s="15" t="n">
        <f aca="false">E30*E14*(1-E15)</f>
        <v>1680.8715</v>
      </c>
      <c r="F31" s="2" t="s">
        <v>52</v>
      </c>
    </row>
    <row r="32" customFormat="false" ht="15" hidden="false" customHeight="false" outlineLevel="0" collapsed="false">
      <c r="A32" s="2" t="s">
        <v>53</v>
      </c>
      <c r="C32" s="14" t="n">
        <f aca="false">IF(C31&gt;0,C31*C16*C17+IF(C16&gt;0,C18*C19,0),0)</f>
        <v>0</v>
      </c>
      <c r="D32" s="14" t="n">
        <f aca="false">IF(D31&gt;0,D31*D16*D17+IF(D16&gt;0,D18*D19,0),0)</f>
        <v>36.4492803125</v>
      </c>
      <c r="E32" s="14" t="n">
        <f aca="false">IF(E31&gt;0,E31*E16*E17+IF(E16&gt;0,E18*E19,0),0)</f>
        <v>55.01089375</v>
      </c>
      <c r="F32" s="2"/>
    </row>
    <row r="33" customFormat="false" ht="15" hidden="false" customHeight="false" outlineLevel="0" collapsed="false">
      <c r="A33" s="2" t="s">
        <v>54</v>
      </c>
      <c r="C33" s="14" t="n">
        <f aca="false">C31-C32</f>
        <v>0</v>
      </c>
      <c r="D33" s="14" t="n">
        <f aca="false">D31-D32</f>
        <v>159.4931446875</v>
      </c>
      <c r="E33" s="14" t="n">
        <f aca="false">E31-E32</f>
        <v>1625.86060625</v>
      </c>
      <c r="F33" s="2"/>
    </row>
    <row r="34" customFormat="false" ht="15" hidden="false" customHeight="false" outlineLevel="0" collapsed="false">
      <c r="A34" s="2" t="s">
        <v>55</v>
      </c>
      <c r="C34" s="14" t="n">
        <f aca="false">C20+C21</f>
        <v>180</v>
      </c>
      <c r="D34" s="14" t="n">
        <f aca="false">D20+D21</f>
        <v>210</v>
      </c>
      <c r="E34" s="14" t="n">
        <f aca="false">E20+E21</f>
        <v>260</v>
      </c>
      <c r="F34" s="2" t="s">
        <v>56</v>
      </c>
    </row>
    <row r="35" customFormat="false" ht="15" hidden="false" customHeight="false" outlineLevel="0" collapsed="false">
      <c r="A35" s="3" t="s">
        <v>57</v>
      </c>
      <c r="C35" s="15" t="n">
        <f aca="false">C33-C34</f>
        <v>-180</v>
      </c>
      <c r="D35" s="15" t="n">
        <f aca="false">D33-D34</f>
        <v>-50.5068553125</v>
      </c>
      <c r="E35" s="15" t="n">
        <f aca="false">E33-E34</f>
        <v>1365.86060625</v>
      </c>
      <c r="F35" s="2" t="s">
        <v>58</v>
      </c>
    </row>
    <row r="36" customFormat="false" ht="15" hidden="false" customHeight="false" outlineLevel="0" collapsed="false">
      <c r="A36" s="2" t="s">
        <v>59</v>
      </c>
      <c r="C36" s="13" t="n">
        <f aca="false">IF(C5&gt;0,C27/C5,0)</f>
        <v>0.875</v>
      </c>
      <c r="D36" s="13" t="n">
        <f aca="false">IF(D5&gt;0,D27/D5,0)</f>
        <v>2.7</v>
      </c>
      <c r="E36" s="13" t="n">
        <f aca="false">IF(E5&gt;0,E27/E5,0)</f>
        <v>7.875</v>
      </c>
      <c r="F36" s="2" t="s">
        <v>60</v>
      </c>
    </row>
    <row r="37" customFormat="false" ht="15" hidden="false" customHeight="false" outlineLevel="0" collapsed="false">
      <c r="A37" s="2" t="s">
        <v>61</v>
      </c>
      <c r="C37" s="14" t="n">
        <f aca="false">C5*C11*C12</f>
        <v>52.5</v>
      </c>
      <c r="D37" s="14" t="n">
        <f aca="false">D5*D11*D12</f>
        <v>122.5</v>
      </c>
      <c r="E37" s="14" t="n">
        <f aca="false">E5*E11*E12</f>
        <v>252</v>
      </c>
      <c r="F37" s="2" t="s">
        <v>62</v>
      </c>
    </row>
    <row r="39" customFormat="false" ht="15" hidden="false" customHeight="false" outlineLevel="0" collapsed="false">
      <c r="A39" s="2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4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1" t="s">
        <v>64</v>
      </c>
    </row>
    <row r="2" customFormat="false" ht="15" hidden="false" customHeight="false" outlineLevel="0" collapsed="false">
      <c r="A2" s="2" t="s">
        <v>65</v>
      </c>
    </row>
    <row r="3" customFormat="false" ht="15" hidden="false" customHeight="false" outlineLevel="0" collapsed="false">
      <c r="B3" s="3" t="s">
        <v>66</v>
      </c>
    </row>
    <row r="4" customFormat="false" ht="15" hidden="false" customHeight="false" outlineLevel="0" collapsed="false">
      <c r="A4" s="4" t="s">
        <v>67</v>
      </c>
      <c r="B4" s="16" t="n">
        <v>200</v>
      </c>
      <c r="C4" s="16" t="n">
        <v>350</v>
      </c>
      <c r="D4" s="16" t="n">
        <v>500</v>
      </c>
    </row>
    <row r="5" customFormat="false" ht="15" hidden="false" customHeight="false" outlineLevel="0" collapsed="false">
      <c r="A5" s="3" t="s">
        <v>68</v>
      </c>
      <c r="B5" s="17" t="n">
        <f aca="false">ROUNDUP($F5/(B$4*Model!$D$12*Model!$D$14*(1-Model!$D$15)),0)</f>
        <v>23</v>
      </c>
      <c r="C5" s="17" t="n">
        <f aca="false">ROUNDUP($F5/(C$4*Model!$D$12*Model!$D$14*(1-Model!$D$15)),0)</f>
        <v>14</v>
      </c>
      <c r="D5" s="17" t="n">
        <f aca="false">ROUNDUP($F5/(D$4*Model!$D$12*Model!$D$14*(1-Model!$D$15)),0)</f>
        <v>10</v>
      </c>
      <c r="F5" s="12" t="n">
        <v>300</v>
      </c>
      <c r="G5" s="2" t="s">
        <v>69</v>
      </c>
    </row>
    <row r="6" customFormat="false" ht="15" hidden="false" customHeight="false" outlineLevel="0" collapsed="false">
      <c r="A6" s="2" t="s">
        <v>70</v>
      </c>
      <c r="B6" s="18" t="n">
        <f aca="false">IF(Model!$D$13=1,Model!$D$5,0)</f>
        <v>5</v>
      </c>
      <c r="C6" s="18" t="n">
        <f aca="false">IF(Model!$D$13=1,Model!$D$5,0)</f>
        <v>5</v>
      </c>
      <c r="D6" s="18" t="n">
        <f aca="false">IF(Model!$D$13=1,Model!$D$5,0)</f>
        <v>5</v>
      </c>
    </row>
    <row r="7" customFormat="false" ht="15" hidden="false" customHeight="false" outlineLevel="0" collapsed="false">
      <c r="A7" s="2" t="s">
        <v>71</v>
      </c>
      <c r="B7" s="17" t="n">
        <f aca="false">B5+B6</f>
        <v>28</v>
      </c>
      <c r="C7" s="17" t="n">
        <f aca="false">C5+C6</f>
        <v>19</v>
      </c>
      <c r="D7" s="17" t="n">
        <f aca="false">D5+D6</f>
        <v>15</v>
      </c>
    </row>
    <row r="8" customFormat="false" ht="15" hidden="false" customHeight="false" outlineLevel="0" collapsed="false">
      <c r="A8" s="2" t="s">
        <v>72</v>
      </c>
      <c r="B8" s="17" t="n">
        <f aca="false">ROUNDUP(B7/Model!$D$10,0)</f>
        <v>35</v>
      </c>
      <c r="C8" s="17" t="n">
        <f aca="false">ROUNDUP(C7/Model!$D$10,0)</f>
        <v>24</v>
      </c>
      <c r="D8" s="17" t="n">
        <f aca="false">ROUNDUP(D7/Model!$D$10,0)</f>
        <v>19</v>
      </c>
    </row>
    <row r="9" customFormat="false" ht="15" hidden="false" customHeight="false" outlineLevel="0" collapsed="false">
      <c r="A9" s="2" t="s">
        <v>73</v>
      </c>
      <c r="B9" s="17" t="n">
        <f aca="false">ROUNDUP(B8/(Model!$D$8*Model!$D$9),0)</f>
        <v>94</v>
      </c>
      <c r="C9" s="17" t="n">
        <f aca="false">ROUNDUP(C8/(Model!$D$8*Model!$D$9),0)</f>
        <v>64</v>
      </c>
      <c r="D9" s="17" t="n">
        <f aca="false">ROUNDUP(D8/(Model!$D$8*Model!$D$9),0)</f>
        <v>51</v>
      </c>
    </row>
    <row r="11" customFormat="false" ht="15" hidden="false" customHeight="false" outlineLevel="0" collapsed="false">
      <c r="A11" s="3" t="s">
        <v>74</v>
      </c>
      <c r="B11" s="17" t="n">
        <f aca="false">ROUNDUP($F11/(B$4*Model!$D$12*Model!$D$14*(1-Model!$D$15)),0)</f>
        <v>38</v>
      </c>
      <c r="C11" s="17" t="n">
        <f aca="false">ROUNDUP($F11/(C$4*Model!$D$12*Model!$D$14*(1-Model!$D$15)),0)</f>
        <v>22</v>
      </c>
      <c r="D11" s="17" t="n">
        <f aca="false">ROUNDUP($F11/(D$4*Model!$D$12*Model!$D$14*(1-Model!$D$15)),0)</f>
        <v>16</v>
      </c>
      <c r="F11" s="12" t="n">
        <v>500</v>
      </c>
      <c r="G11" s="2" t="s">
        <v>69</v>
      </c>
    </row>
    <row r="12" customFormat="false" ht="15" hidden="false" customHeight="false" outlineLevel="0" collapsed="false">
      <c r="A12" s="2" t="s">
        <v>70</v>
      </c>
      <c r="B12" s="18" t="n">
        <f aca="false">IF(Model!$D$13=1,Model!$D$5,0)</f>
        <v>5</v>
      </c>
      <c r="C12" s="18" t="n">
        <f aca="false">IF(Model!$D$13=1,Model!$D$5,0)</f>
        <v>5</v>
      </c>
      <c r="D12" s="18" t="n">
        <f aca="false">IF(Model!$D$13=1,Model!$D$5,0)</f>
        <v>5</v>
      </c>
    </row>
    <row r="13" customFormat="false" ht="15" hidden="false" customHeight="false" outlineLevel="0" collapsed="false">
      <c r="A13" s="2" t="s">
        <v>71</v>
      </c>
      <c r="B13" s="17" t="n">
        <f aca="false">B11+B12</f>
        <v>43</v>
      </c>
      <c r="C13" s="17" t="n">
        <f aca="false">C11+C12</f>
        <v>27</v>
      </c>
      <c r="D13" s="17" t="n">
        <f aca="false">D11+D12</f>
        <v>21</v>
      </c>
    </row>
    <row r="14" customFormat="false" ht="15" hidden="false" customHeight="false" outlineLevel="0" collapsed="false">
      <c r="A14" s="2" t="s">
        <v>72</v>
      </c>
      <c r="B14" s="17" t="n">
        <f aca="false">ROUNDUP(B13/Model!$D$10,0)</f>
        <v>54</v>
      </c>
      <c r="C14" s="17" t="n">
        <f aca="false">ROUNDUP(C13/Model!$D$10,0)</f>
        <v>34</v>
      </c>
      <c r="D14" s="17" t="n">
        <f aca="false">ROUNDUP(D13/Model!$D$10,0)</f>
        <v>27</v>
      </c>
    </row>
    <row r="15" customFormat="false" ht="15" hidden="false" customHeight="false" outlineLevel="0" collapsed="false">
      <c r="A15" s="2" t="s">
        <v>73</v>
      </c>
      <c r="B15" s="17" t="n">
        <f aca="false">ROUNDUP(B14/(Model!$D$8*Model!$D$9),0)</f>
        <v>144</v>
      </c>
      <c r="C15" s="17" t="n">
        <f aca="false">ROUNDUP(C14/(Model!$D$8*Model!$D$9),0)</f>
        <v>91</v>
      </c>
      <c r="D15" s="17" t="n">
        <f aca="false">ROUNDUP(D14/(Model!$D$8*Model!$D$9),0)</f>
        <v>72</v>
      </c>
    </row>
    <row r="17" customFormat="false" ht="15" hidden="false" customHeight="false" outlineLevel="0" collapsed="false">
      <c r="A17" s="3" t="s">
        <v>75</v>
      </c>
      <c r="B17" s="17" t="n">
        <f aca="false">ROUNDUP($F17/(B$4*Model!$D$12*Model!$D$14*(1-Model!$D$15)),0)</f>
        <v>76</v>
      </c>
      <c r="C17" s="17" t="n">
        <f aca="false">ROUNDUP($F17/(C$4*Model!$D$12*Model!$D$14*(1-Model!$D$15)),0)</f>
        <v>44</v>
      </c>
      <c r="D17" s="17" t="n">
        <f aca="false">ROUNDUP($F17/(D$4*Model!$D$12*Model!$D$14*(1-Model!$D$15)),0)</f>
        <v>31</v>
      </c>
      <c r="F17" s="12" t="n">
        <v>1000</v>
      </c>
      <c r="G17" s="2" t="s">
        <v>69</v>
      </c>
    </row>
    <row r="18" customFormat="false" ht="15" hidden="false" customHeight="false" outlineLevel="0" collapsed="false">
      <c r="A18" s="2" t="s">
        <v>70</v>
      </c>
      <c r="B18" s="18" t="n">
        <f aca="false">IF(Model!$D$13=1,Model!$D$5,0)</f>
        <v>5</v>
      </c>
      <c r="C18" s="18" t="n">
        <f aca="false">IF(Model!$D$13=1,Model!$D$5,0)</f>
        <v>5</v>
      </c>
      <c r="D18" s="18" t="n">
        <f aca="false">IF(Model!$D$13=1,Model!$D$5,0)</f>
        <v>5</v>
      </c>
    </row>
    <row r="19" customFormat="false" ht="15" hidden="false" customHeight="false" outlineLevel="0" collapsed="false">
      <c r="A19" s="2" t="s">
        <v>71</v>
      </c>
      <c r="B19" s="17" t="n">
        <f aca="false">B17+B18</f>
        <v>81</v>
      </c>
      <c r="C19" s="17" t="n">
        <f aca="false">C17+C18</f>
        <v>49</v>
      </c>
      <c r="D19" s="17" t="n">
        <f aca="false">D17+D18</f>
        <v>36</v>
      </c>
    </row>
    <row r="20" customFormat="false" ht="15" hidden="false" customHeight="false" outlineLevel="0" collapsed="false">
      <c r="A20" s="2" t="s">
        <v>72</v>
      </c>
      <c r="B20" s="17" t="n">
        <f aca="false">ROUNDUP(B19/Model!$D$10,0)</f>
        <v>102</v>
      </c>
      <c r="C20" s="17" t="n">
        <f aca="false">ROUNDUP(C19/Model!$D$10,0)</f>
        <v>62</v>
      </c>
      <c r="D20" s="17" t="n">
        <f aca="false">ROUNDUP(D19/Model!$D$10,0)</f>
        <v>45</v>
      </c>
    </row>
    <row r="21" customFormat="false" ht="15" hidden="false" customHeight="false" outlineLevel="0" collapsed="false">
      <c r="A21" s="2" t="s">
        <v>73</v>
      </c>
      <c r="B21" s="17" t="n">
        <f aca="false">ROUNDUP(B20/(Model!$D$8*Model!$D$9),0)</f>
        <v>272</v>
      </c>
      <c r="C21" s="17" t="n">
        <f aca="false">ROUNDUP(C20/(Model!$D$8*Model!$D$9),0)</f>
        <v>166</v>
      </c>
      <c r="D21" s="17" t="n">
        <f aca="false">ROUNDUP(D20/(Model!$D$8*Model!$D$9),0)</f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2026-10-25T05:04:57Z</dcterms:created>
  <dc:creator>openpyxl</dc:creator>
  <dc:description/>
  <dc:language>en-US</dc:language>
  <cp:lastModifiedBy/>
  <dcterms:modified xsi:type="dcterms:W3CDTF">2026-10-25T05:04:57Z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